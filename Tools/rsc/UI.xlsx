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l\GitHub\PG-main\Tools\SequenceGenerator\rsc\"/>
    </mc:Choice>
  </mc:AlternateContent>
  <xr:revisionPtr revIDLastSave="0" documentId="13_ncr:1_{575BE10C-E872-4CCE-BBE7-B1F89DA911FB}" xr6:coauthVersionLast="47" xr6:coauthVersionMax="47" xr10:uidLastSave="{00000000-0000-0000-0000-000000000000}"/>
  <bookViews>
    <workbookView xWindow="12690" yWindow="0" windowWidth="25815" windowHeight="21705" activeTab="3" xr2:uid="{B8A94314-94F8-4858-BA99-227DA0C15445}"/>
  </bookViews>
  <sheets>
    <sheet name="Sheet1" sheetId="1" r:id="rId1"/>
    <sheet name="Sheet1 (2)" sheetId="2" r:id="rId2"/>
    <sheet name="Sheet3" sheetId="3" r:id="rId3"/>
    <sheet name="Sheet1 (3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6" i="2" s="1"/>
  <c r="E1" i="2" s="1" a="1"/>
  <c r="E1" i="2" s="1"/>
  <c r="D1" i="2" a="1"/>
  <c r="D1" i="2" s="1"/>
  <c r="B2" i="1"/>
  <c r="B6" i="1" s="1"/>
  <c r="E1" i="1" s="1" a="1"/>
  <c r="E1" i="1" s="1"/>
  <c r="D1" i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<sst xmlns="http://schemas.openxmlformats.org/spreadsheetml/2006/main" count="121" uniqueCount="91">
  <si>
    <t>First Digit</t>
  </si>
  <si>
    <t>Second Digit</t>
  </si>
  <si>
    <t>Difference</t>
  </si>
  <si>
    <t>Total Count</t>
  </si>
  <si>
    <t>Decimals</t>
  </si>
  <si>
    <t>Last Val</t>
  </si>
  <si>
    <t>Hex</t>
  </si>
  <si>
    <t>RGB</t>
  </si>
  <si>
    <t>Usage</t>
  </si>
  <si>
    <t>#000000</t>
  </si>
  <si>
    <t>(0, 0, 0)</t>
  </si>
  <si>
    <t>#FFFFFF</t>
  </si>
  <si>
    <t>(255, 255, 255)</t>
  </si>
  <si>
    <t>#1F1F1F</t>
  </si>
  <si>
    <t>(31, 31, 31)</t>
  </si>
  <si>
    <t>Box/card background, header border, table header background</t>
  </si>
  <si>
    <t>#0F0F0F</t>
  </si>
  <si>
    <t>(15, 15, 15)</t>
  </si>
  <si>
    <t>Cross-Multiplication input background, MB dropdown/textarea background</t>
  </si>
  <si>
    <t>#080808</t>
  </si>
  <si>
    <t>(8, 8, 8)</t>
  </si>
  <si>
    <t>Cross-Multiplication result input background</t>
  </si>
  <si>
    <t>#2A2A2A</t>
  </si>
  <si>
    <t>(42, 42, 42)</t>
  </si>
  <si>
    <t>Table row hover, cheat-table even row stripe</t>
  </si>
  <si>
    <t>#222222</t>
  </si>
  <si>
    <t>(34, 34, 34)</t>
  </si>
  <si>
    <t>MB dropdown/textarea borders</t>
  </si>
  <si>
    <t>#333333</t>
  </si>
  <si>
    <t>(51, 51, 51)</t>
  </si>
  <si>
    <t>Cheat-table cell borders (HexDecBin)</t>
  </si>
  <si>
    <t>#3F3F3F</t>
  </si>
  <si>
    <t>(63, 63, 63)</t>
  </si>
  <si>
    <t>Input field background, input borders, divider lines</t>
  </si>
  <si>
    <t>#7F7F7F</t>
  </si>
  <si>
    <t>(127, 127, 127)</t>
  </si>
  <si>
    <t>Labels, table headers, input borders</t>
  </si>
  <si>
    <t>#FFC000</t>
  </si>
  <si>
    <t>(255, 192, 0)</t>
  </si>
  <si>
    <t>Input text, computed values, table data cells</t>
  </si>
  <si>
    <t>#FF3F3F</t>
  </si>
  <si>
    <t>(255, 63, 63)</t>
  </si>
  <si>
    <t>Error text</t>
  </si>
  <si>
    <t>#001F0F</t>
  </si>
  <si>
    <t>(0, 31, 15)</t>
  </si>
  <si>
    <t>Nav-link / Home button / cheat-btn background, cheat-table header background</t>
  </si>
  <si>
    <t>#003F1F</t>
  </si>
  <si>
    <t>(0, 63, 31)</t>
  </si>
  <si>
    <t>Nav-link / Home button hover background</t>
  </si>
  <si>
    <t>#9FFF9F</t>
  </si>
  <si>
    <t>(159, 255, 159)</t>
  </si>
  <si>
    <t>Nav-link / Home button / cheat-btn text, close-modal text, cheat-table header text</t>
  </si>
  <si>
    <t>#00FF7F</t>
  </si>
  <si>
    <t>(0, 255, 127)</t>
  </si>
  <si>
    <t>Nav-link / Home button hover text, close-modal hover text</t>
  </si>
  <si>
    <t>#7F0000</t>
  </si>
  <si>
    <t>(127, 0, 0)</t>
  </si>
  <si>
    <t>MB clear/reset button background</t>
  </si>
  <si>
    <t>#BF0000</t>
  </si>
  <si>
    <t>(191, 0, 0)</t>
  </si>
  <si>
    <t>MB clear/reset button hover background</t>
  </si>
  <si>
    <t>#8C00FF</t>
  </si>
  <si>
    <t>(140, 0, 255)</t>
  </si>
  <si>
    <t>Page background (body)</t>
  </si>
  <si>
    <t>Primary text colour (body, headings, equals sign)</t>
  </si>
  <si>
    <r>
      <t>Box border &amp; box-shadow accent — stored as #8c00ff7a (RGBA with alpha ≈ 0.48). Composited on #000: </t>
    </r>
    <r>
      <rPr>
        <b/>
        <sz val="8"/>
        <color theme="1"/>
        <rFont val="Consolas"/>
        <family val="3"/>
      </rPr>
      <t>#43007A</t>
    </r>
    <r>
      <rPr>
        <sz val="8"/>
        <color theme="1"/>
        <rFont val="Consolas"/>
        <family val="3"/>
      </rPr>
      <t> (67, 0, 122). Composited on #1f1f1f: </t>
    </r>
    <r>
      <rPr>
        <b/>
        <sz val="8"/>
        <color theme="1"/>
        <rFont val="Consolas"/>
        <family val="3"/>
      </rPr>
      <t>#521F9A</t>
    </r>
    <r>
      <rPr>
        <sz val="8"/>
        <color theme="1"/>
        <rFont val="Consolas"/>
        <family val="3"/>
      </rPr>
      <t> (82, 31, 154)</t>
    </r>
  </si>
  <si>
    <t>#000000 @ 50%</t>
  </si>
  <si>
    <t>Box shadow (rgba(0,0,0,0.5)) — effectively invisible on black bg</t>
  </si>
  <si>
    <t>#000000 @ 80%</t>
  </si>
  <si>
    <t>Modal overlay (rgba(0,0,0,0.8)) — nearly opaque black veil</t>
  </si>
  <si>
    <t>Sequence Generator</t>
  </si>
  <si>
    <t>Last Value</t>
  </si>
  <si>
    <t>#</t>
  </si>
  <si>
    <t>Value</t>
  </si>
  <si>
    <t>:</t>
  </si>
  <si>
    <t>▼</t>
  </si>
  <si>
    <t>Seconds</t>
  </si>
  <si>
    <t>Total</t>
  </si>
  <si>
    <t>Days</t>
  </si>
  <si>
    <t>Milliseconds</t>
  </si>
  <si>
    <t>Weeks</t>
  </si>
  <si>
    <t>Minutes</t>
  </si>
  <si>
    <t>Months</t>
  </si>
  <si>
    <t>Hours</t>
  </si>
  <si>
    <t>Years</t>
  </si>
  <si>
    <t>End Time</t>
  </si>
  <si>
    <t>25.03.2026</t>
  </si>
  <si>
    <t>End Date</t>
  </si>
  <si>
    <t>Start Time</t>
  </si>
  <si>
    <t>17.12.1958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</si>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</sst>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,000"/>
    <numFmt numFmtId="165" formatCode="hh:mm:ss.000"/>
  </numFmts>
  <fonts count="11" x14ac:knownFonts="1">
    <font>
      <sz val="11"/>
      <color theme="1"/>
      <name val="Aptos Narrow"/>
      <family val="2"/>
      <scheme val="minor"/>
    </font>
    <font>
      <sz val="8"/>
      <color theme="1"/>
      <name val="Consolas"/>
      <family val="3"/>
    </font>
    <font>
      <b/>
      <sz val="8"/>
      <color theme="1"/>
      <name val="Consolas"/>
      <family val="3"/>
    </font>
    <font>
      <sz val="8"/>
      <color theme="0"/>
      <name val="Consolas"/>
      <family val="3"/>
    </font>
    <font>
      <sz val="8"/>
      <color rgb="FF7F7F7F"/>
      <name val="Consolas"/>
      <family val="3"/>
    </font>
    <font>
      <sz val="8"/>
      <color rgb="FFFFC000"/>
      <name val="Consolas"/>
      <family val="3"/>
    </font>
    <font>
      <b/>
      <sz val="8"/>
      <color rgb="FF7F7F7F"/>
      <name val="Consolas"/>
      <family val="3"/>
    </font>
    <font>
      <b/>
      <sz val="10"/>
      <color theme="0"/>
      <name val="Consolas"/>
      <family val="3"/>
    </font>
    <font>
      <sz val="8"/>
      <color theme="0" tint="-0.34998626667073579"/>
      <name val="Consolas"/>
      <family val="3"/>
    </font>
    <font>
      <sz val="11"/>
      <color theme="1"/>
      <name val="Aptos Narrow"/>
      <family val="2"/>
      <scheme val="minor"/>
    </font>
    <font>
      <sz val="8"/>
      <color theme="0" tint="-0.249977111117893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8C00FF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749992370372631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/>
      <bottom/>
      <diagonal/>
    </border>
    <border>
      <left/>
      <right/>
      <top/>
      <bottom style="thin">
        <color theme="1" tint="0.249977111117893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5">
    <xf numFmtId="0" fontId="0" fillId="0" borderId="0" xfId="0"/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3" xfId="0" applyFont="1" applyFill="1" applyBorder="1" applyAlignment="1">
      <alignment vertical="center"/>
    </xf>
    <xf numFmtId="0" fontId="8" fillId="4" borderId="0" xfId="0" applyFont="1" applyFill="1" applyAlignment="1">
      <alignment horizontal="right" vertical="center" indent="4"/>
    </xf>
    <xf numFmtId="0" fontId="8" fillId="4" borderId="9" xfId="0" applyFont="1" applyFill="1" applyBorder="1" applyAlignment="1">
      <alignment horizontal="right" vertical="center" indent="4"/>
    </xf>
    <xf numFmtId="0" fontId="1" fillId="3" borderId="0" xfId="0" applyFont="1" applyFill="1" applyAlignment="1">
      <alignment horizontal="center" vertical="center"/>
    </xf>
    <xf numFmtId="2" fontId="5" fillId="4" borderId="2" xfId="0" applyNumberFormat="1" applyFont="1" applyFill="1" applyBorder="1" applyAlignment="1">
      <alignment horizontal="right" vertical="center" indent="3"/>
    </xf>
    <xf numFmtId="2" fontId="5" fillId="4" borderId="0" xfId="0" applyNumberFormat="1" applyFont="1" applyFill="1" applyAlignment="1">
      <alignment horizontal="right" vertical="center" indent="3"/>
    </xf>
    <xf numFmtId="0" fontId="8" fillId="4" borderId="4" xfId="0" applyFont="1" applyFill="1" applyBorder="1" applyAlignment="1">
      <alignment horizontal="right" vertical="center" indent="4"/>
    </xf>
    <xf numFmtId="0" fontId="8" fillId="4" borderId="8" xfId="0" applyFont="1" applyFill="1" applyBorder="1" applyAlignment="1">
      <alignment horizontal="right" vertical="center" indent="4"/>
    </xf>
    <xf numFmtId="2" fontId="5" fillId="4" borderId="7" xfId="0" applyNumberFormat="1" applyFont="1" applyFill="1" applyBorder="1" applyAlignment="1">
      <alignment horizontal="right" vertical="center" indent="3"/>
    </xf>
    <xf numFmtId="2" fontId="5" fillId="4" borderId="4" xfId="0" applyNumberFormat="1" applyFont="1" applyFill="1" applyBorder="1" applyAlignment="1">
      <alignment horizontal="right" vertical="center" indent="3"/>
    </xf>
    <xf numFmtId="0" fontId="8" fillId="4" borderId="0" xfId="0" applyFont="1" applyFill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0" xfId="0" applyFont="1" applyFill="1" applyAlignment="1">
      <alignment vertical="center"/>
    </xf>
    <xf numFmtId="2" fontId="5" fillId="5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 indent="1"/>
    </xf>
    <xf numFmtId="0" fontId="10" fillId="2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64" fontId="10" fillId="7" borderId="10" xfId="1" applyNumberFormat="1" applyFont="1" applyFill="1" applyBorder="1" applyAlignment="1">
      <alignment horizontal="right" vertical="center" indent="1"/>
    </xf>
    <xf numFmtId="0" fontId="10" fillId="8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right" vertical="center" indent="1"/>
    </xf>
    <xf numFmtId="0" fontId="10" fillId="2" borderId="12" xfId="0" applyFont="1" applyFill="1" applyBorder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13" xfId="0" applyFont="1" applyFill="1" applyBorder="1" applyAlignment="1">
      <alignment horizontal="right" vertical="center" indent="1"/>
    </xf>
    <xf numFmtId="0" fontId="10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right" vertical="center"/>
    </xf>
    <xf numFmtId="0" fontId="10" fillId="2" borderId="13" xfId="0" applyFont="1" applyFill="1" applyBorder="1" applyAlignment="1">
      <alignment vertical="center"/>
    </xf>
    <xf numFmtId="1" fontId="10" fillId="7" borderId="10" xfId="1" applyNumberFormat="1" applyFont="1" applyFill="1" applyBorder="1" applyAlignment="1">
      <alignment horizontal="right" vertical="center" indent="1"/>
    </xf>
    <xf numFmtId="0" fontId="10" fillId="2" borderId="0" xfId="0" applyFont="1" applyFill="1" applyAlignment="1">
      <alignment horizontal="right" vertical="center"/>
    </xf>
    <xf numFmtId="0" fontId="10" fillId="7" borderId="10" xfId="0" applyFont="1" applyFill="1" applyBorder="1" applyAlignment="1">
      <alignment horizontal="right" vertical="center" indent="1"/>
    </xf>
    <xf numFmtId="165" fontId="10" fillId="7" borderId="10" xfId="0" applyNumberFormat="1" applyFont="1" applyFill="1" applyBorder="1" applyAlignment="1">
      <alignment horizontal="righ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000"/>
      <color rgb="FF7F7F7F"/>
      <color rgb="FF3F3F3F"/>
      <color rgb="FF8C00FF"/>
      <color rgb="FF1F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5007-8A59-44AA-8003-11BE7789A73E}">
  <dimension ref="A1:E15"/>
  <sheetViews>
    <sheetView zoomScale="130" zoomScaleNormal="130" workbookViewId="0">
      <selection activeCell="D32" sqref="D32"/>
    </sheetView>
  </sheetViews>
  <sheetFormatPr defaultRowHeight="11.25" x14ac:dyDescent="0.25"/>
  <cols>
    <col min="1" max="1" width="11.28515625" style="2" bestFit="1" customWidth="1"/>
    <col min="2" max="2" width="4.42578125" style="2" bestFit="1" customWidth="1"/>
    <col min="3" max="16384" width="9.140625" style="2"/>
  </cols>
  <sheetData>
    <row r="1" spans="1:5" x14ac:dyDescent="0.25">
      <c r="A1" s="2" t="s">
        <v>0</v>
      </c>
      <c r="B1" s="1">
        <v>2.72</v>
      </c>
      <c r="D1" s="2" cm="1">
        <f t="array" ref="D1:D15">_xlfn.SEQUENCE(B3, 1, 1, 1)</f>
        <v>1</v>
      </c>
      <c r="E1" s="1" cm="1">
        <f t="array" ref="E1:E15">_xlfn.SEQUENCE(B3, 1, B1, B6)</f>
        <v>2.72</v>
      </c>
    </row>
    <row r="2" spans="1:5" x14ac:dyDescent="0.25">
      <c r="A2" s="2" t="s">
        <v>1</v>
      </c>
      <c r="B2" s="1">
        <f>B1+0.38</f>
        <v>3.1</v>
      </c>
      <c r="D2" s="2">
        <v>2</v>
      </c>
      <c r="E2" s="1">
        <v>3.1</v>
      </c>
    </row>
    <row r="3" spans="1:5" x14ac:dyDescent="0.25">
      <c r="A3" s="2" t="s">
        <v>3</v>
      </c>
      <c r="B3" s="2">
        <v>15</v>
      </c>
      <c r="D3" s="2">
        <v>3</v>
      </c>
      <c r="E3" s="1">
        <v>3.48</v>
      </c>
    </row>
    <row r="4" spans="1:5" x14ac:dyDescent="0.25">
      <c r="A4" s="2" t="s">
        <v>4</v>
      </c>
      <c r="B4" s="2">
        <v>2</v>
      </c>
      <c r="D4" s="2">
        <v>4</v>
      </c>
      <c r="E4" s="1">
        <v>3.86</v>
      </c>
    </row>
    <row r="5" spans="1:5" x14ac:dyDescent="0.25">
      <c r="D5" s="2">
        <v>5</v>
      </c>
      <c r="E5" s="1">
        <v>4.24</v>
      </c>
    </row>
    <row r="6" spans="1:5" x14ac:dyDescent="0.25">
      <c r="A6" s="2" t="s">
        <v>2</v>
      </c>
      <c r="B6" s="1">
        <f>B2-B1</f>
        <v>0.37999999999999989</v>
      </c>
      <c r="D6" s="2">
        <v>6</v>
      </c>
      <c r="E6" s="1">
        <v>4.62</v>
      </c>
    </row>
    <row r="7" spans="1:5" x14ac:dyDescent="0.25">
      <c r="A7" s="2" t="s">
        <v>5</v>
      </c>
      <c r="B7" s="2">
        <v>6.32</v>
      </c>
      <c r="D7" s="2">
        <v>7</v>
      </c>
      <c r="E7" s="1">
        <v>5</v>
      </c>
    </row>
    <row r="8" spans="1:5" x14ac:dyDescent="0.25">
      <c r="D8" s="2">
        <v>8</v>
      </c>
      <c r="E8" s="1">
        <v>5.38</v>
      </c>
    </row>
    <row r="9" spans="1:5" x14ac:dyDescent="0.25">
      <c r="D9" s="2">
        <v>9</v>
      </c>
      <c r="E9" s="1">
        <v>5.76</v>
      </c>
    </row>
    <row r="10" spans="1:5" x14ac:dyDescent="0.25">
      <c r="D10" s="2">
        <v>10</v>
      </c>
      <c r="E10" s="1">
        <v>6.14</v>
      </c>
    </row>
    <row r="11" spans="1:5" x14ac:dyDescent="0.25">
      <c r="D11" s="2">
        <v>11</v>
      </c>
      <c r="E11" s="1">
        <v>6.52</v>
      </c>
    </row>
    <row r="12" spans="1:5" x14ac:dyDescent="0.25">
      <c r="D12" s="2">
        <v>12</v>
      </c>
      <c r="E12" s="1">
        <v>6.8999999999999995</v>
      </c>
    </row>
    <row r="13" spans="1:5" x14ac:dyDescent="0.25">
      <c r="D13" s="2">
        <v>13</v>
      </c>
      <c r="E13" s="1">
        <v>7.2799999999999994</v>
      </c>
    </row>
    <row r="14" spans="1:5" x14ac:dyDescent="0.25">
      <c r="D14" s="2">
        <v>14</v>
      </c>
      <c r="E14" s="1">
        <v>7.6599999999999993</v>
      </c>
    </row>
    <row r="15" spans="1:5" x14ac:dyDescent="0.25">
      <c r="D15" s="2">
        <v>15</v>
      </c>
      <c r="E15" s="1">
        <v>8.0399999999999991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F7AA-E941-40AD-A5CC-2552B4CF20AD}">
  <dimension ref="A1:I22"/>
  <sheetViews>
    <sheetView zoomScale="130" zoomScaleNormal="130" workbookViewId="0">
      <selection activeCell="G1" sqref="G1:I22"/>
    </sheetView>
  </sheetViews>
  <sheetFormatPr defaultRowHeight="11.25" x14ac:dyDescent="0.25"/>
  <cols>
    <col min="1" max="1" width="11.28515625" style="2" bestFit="1" customWidth="1"/>
    <col min="2" max="2" width="4.42578125" style="2" bestFit="1" customWidth="1"/>
    <col min="3" max="6" width="9.140625" style="2"/>
    <col min="7" max="7" width="12.28515625" style="2" bestFit="1" customWidth="1"/>
    <col min="8" max="8" width="14.140625" style="2" bestFit="1" customWidth="1"/>
    <col min="9" max="9" width="149.28515625" style="2" bestFit="1" customWidth="1"/>
    <col min="10" max="16384" width="9.140625" style="2"/>
  </cols>
  <sheetData>
    <row r="1" spans="1:9" x14ac:dyDescent="0.25">
      <c r="A1" s="2" t="s">
        <v>0</v>
      </c>
      <c r="B1" s="1">
        <v>2.72</v>
      </c>
      <c r="D1" s="2" cm="1">
        <f t="array" ref="D1:D15">_xlfn.SEQUENCE(B3, 1, 1, 1)</f>
        <v>1</v>
      </c>
      <c r="E1" s="1" cm="1">
        <f t="array" ref="E1:E15">_xlfn.SEQUENCE(B3, 1, B1, B6)</f>
        <v>2.72</v>
      </c>
      <c r="G1" s="2" t="s">
        <v>6</v>
      </c>
      <c r="H1" s="2" t="s">
        <v>7</v>
      </c>
      <c r="I1" s="2" t="s">
        <v>8</v>
      </c>
    </row>
    <row r="2" spans="1:9" x14ac:dyDescent="0.25">
      <c r="A2" s="2" t="s">
        <v>1</v>
      </c>
      <c r="B2" s="1">
        <f>B1+0.38</f>
        <v>3.1</v>
      </c>
      <c r="D2" s="2">
        <v>2</v>
      </c>
      <c r="E2" s="1">
        <v>3.1</v>
      </c>
      <c r="G2" s="2" t="s">
        <v>9</v>
      </c>
      <c r="H2" s="2" t="s">
        <v>10</v>
      </c>
      <c r="I2" s="2" t="s">
        <v>63</v>
      </c>
    </row>
    <row r="3" spans="1:9" x14ac:dyDescent="0.25">
      <c r="A3" s="2" t="s">
        <v>3</v>
      </c>
      <c r="B3" s="2">
        <v>15</v>
      </c>
      <c r="D3" s="2">
        <v>3</v>
      </c>
      <c r="E3" s="1">
        <v>3.48</v>
      </c>
      <c r="G3" s="2" t="s">
        <v>11</v>
      </c>
      <c r="H3" s="2" t="s">
        <v>12</v>
      </c>
      <c r="I3" s="2" t="s">
        <v>64</v>
      </c>
    </row>
    <row r="4" spans="1:9" x14ac:dyDescent="0.25">
      <c r="A4" s="2" t="s">
        <v>4</v>
      </c>
      <c r="B4" s="2">
        <v>2</v>
      </c>
      <c r="D4" s="2">
        <v>4</v>
      </c>
      <c r="E4" s="1">
        <v>3.86</v>
      </c>
      <c r="G4" s="2" t="s">
        <v>13</v>
      </c>
      <c r="H4" s="2" t="s">
        <v>14</v>
      </c>
      <c r="I4" s="2" t="s">
        <v>15</v>
      </c>
    </row>
    <row r="5" spans="1:9" x14ac:dyDescent="0.25">
      <c r="D5" s="2">
        <v>5</v>
      </c>
      <c r="E5" s="1">
        <v>4.24</v>
      </c>
      <c r="G5" s="2" t="s">
        <v>16</v>
      </c>
      <c r="H5" s="2" t="s">
        <v>17</v>
      </c>
      <c r="I5" s="2" t="s">
        <v>18</v>
      </c>
    </row>
    <row r="6" spans="1:9" x14ac:dyDescent="0.25">
      <c r="A6" s="2" t="s">
        <v>2</v>
      </c>
      <c r="B6" s="1">
        <f>B2-B1</f>
        <v>0.37999999999999989</v>
      </c>
      <c r="D6" s="2">
        <v>6</v>
      </c>
      <c r="E6" s="1">
        <v>4.62</v>
      </c>
      <c r="G6" s="2" t="s">
        <v>19</v>
      </c>
      <c r="H6" s="2" t="s">
        <v>20</v>
      </c>
      <c r="I6" s="2" t="s">
        <v>21</v>
      </c>
    </row>
    <row r="7" spans="1:9" x14ac:dyDescent="0.25">
      <c r="A7" s="2" t="s">
        <v>5</v>
      </c>
      <c r="B7" s="2">
        <v>6.32</v>
      </c>
      <c r="D7" s="2">
        <v>7</v>
      </c>
      <c r="E7" s="1">
        <v>5</v>
      </c>
      <c r="G7" s="2" t="s">
        <v>22</v>
      </c>
      <c r="H7" s="2" t="s">
        <v>23</v>
      </c>
      <c r="I7" s="2" t="s">
        <v>24</v>
      </c>
    </row>
    <row r="8" spans="1:9" x14ac:dyDescent="0.25">
      <c r="D8" s="2">
        <v>8</v>
      </c>
      <c r="E8" s="1">
        <v>5.38</v>
      </c>
      <c r="G8" s="2" t="s">
        <v>25</v>
      </c>
      <c r="H8" s="2" t="s">
        <v>26</v>
      </c>
      <c r="I8" s="2" t="s">
        <v>27</v>
      </c>
    </row>
    <row r="9" spans="1:9" x14ac:dyDescent="0.25">
      <c r="D9" s="2">
        <v>9</v>
      </c>
      <c r="E9" s="1">
        <v>5.76</v>
      </c>
      <c r="G9" s="2" t="s">
        <v>28</v>
      </c>
      <c r="H9" s="2" t="s">
        <v>29</v>
      </c>
      <c r="I9" s="2" t="s">
        <v>30</v>
      </c>
    </row>
    <row r="10" spans="1:9" x14ac:dyDescent="0.25">
      <c r="D10" s="2">
        <v>10</v>
      </c>
      <c r="E10" s="1">
        <v>6.14</v>
      </c>
      <c r="G10" s="2" t="s">
        <v>31</v>
      </c>
      <c r="H10" s="2" t="s">
        <v>32</v>
      </c>
      <c r="I10" s="2" t="s">
        <v>33</v>
      </c>
    </row>
    <row r="11" spans="1:9" x14ac:dyDescent="0.25">
      <c r="D11" s="2">
        <v>11</v>
      </c>
      <c r="E11" s="1">
        <v>6.52</v>
      </c>
      <c r="G11" s="2" t="s">
        <v>34</v>
      </c>
      <c r="H11" s="2" t="s">
        <v>35</v>
      </c>
      <c r="I11" s="2" t="s">
        <v>36</v>
      </c>
    </row>
    <row r="12" spans="1:9" x14ac:dyDescent="0.25">
      <c r="D12" s="2">
        <v>12</v>
      </c>
      <c r="E12" s="1">
        <v>6.8999999999999995</v>
      </c>
      <c r="G12" s="2" t="s">
        <v>37</v>
      </c>
      <c r="H12" s="2" t="s">
        <v>38</v>
      </c>
      <c r="I12" s="2" t="s">
        <v>39</v>
      </c>
    </row>
    <row r="13" spans="1:9" x14ac:dyDescent="0.25">
      <c r="D13" s="2">
        <v>13</v>
      </c>
      <c r="E13" s="1">
        <v>7.2799999999999994</v>
      </c>
      <c r="G13" s="2" t="s">
        <v>40</v>
      </c>
      <c r="H13" s="2" t="s">
        <v>41</v>
      </c>
      <c r="I13" s="2" t="s">
        <v>42</v>
      </c>
    </row>
    <row r="14" spans="1:9" x14ac:dyDescent="0.25">
      <c r="D14" s="2">
        <v>14</v>
      </c>
      <c r="E14" s="1">
        <v>7.6599999999999993</v>
      </c>
      <c r="G14" s="2" t="s">
        <v>43</v>
      </c>
      <c r="H14" s="2" t="s">
        <v>44</v>
      </c>
      <c r="I14" s="2" t="s">
        <v>45</v>
      </c>
    </row>
    <row r="15" spans="1:9" x14ac:dyDescent="0.25">
      <c r="D15" s="2">
        <v>15</v>
      </c>
      <c r="E15" s="1">
        <v>8.0399999999999991</v>
      </c>
      <c r="G15" s="2" t="s">
        <v>46</v>
      </c>
      <c r="H15" s="2" t="s">
        <v>47</v>
      </c>
      <c r="I15" s="2" t="s">
        <v>48</v>
      </c>
    </row>
    <row r="16" spans="1:9" x14ac:dyDescent="0.25">
      <c r="G16" s="2" t="s">
        <v>49</v>
      </c>
      <c r="H16" s="2" t="s">
        <v>50</v>
      </c>
      <c r="I16" s="2" t="s">
        <v>51</v>
      </c>
    </row>
    <row r="17" spans="7:9" x14ac:dyDescent="0.25">
      <c r="G17" s="2" t="s">
        <v>52</v>
      </c>
      <c r="H17" s="2" t="s">
        <v>53</v>
      </c>
      <c r="I17" s="2" t="s">
        <v>54</v>
      </c>
    </row>
    <row r="18" spans="7:9" x14ac:dyDescent="0.25">
      <c r="G18" s="2" t="s">
        <v>55</v>
      </c>
      <c r="H18" s="2" t="s">
        <v>56</v>
      </c>
      <c r="I18" s="2" t="s">
        <v>57</v>
      </c>
    </row>
    <row r="19" spans="7:9" x14ac:dyDescent="0.25">
      <c r="G19" s="2" t="s">
        <v>58</v>
      </c>
      <c r="H19" s="2" t="s">
        <v>59</v>
      </c>
      <c r="I19" s="2" t="s">
        <v>60</v>
      </c>
    </row>
    <row r="20" spans="7:9" x14ac:dyDescent="0.25">
      <c r="G20" s="2" t="s">
        <v>61</v>
      </c>
      <c r="H20" s="2" t="s">
        <v>62</v>
      </c>
      <c r="I20" s="2" t="s">
        <v>65</v>
      </c>
    </row>
    <row r="21" spans="7:9" x14ac:dyDescent="0.25">
      <c r="G21" s="2" t="s">
        <v>66</v>
      </c>
      <c r="H21" s="2" t="s">
        <v>10</v>
      </c>
      <c r="I21" s="2" t="s">
        <v>67</v>
      </c>
    </row>
    <row r="22" spans="7:9" x14ac:dyDescent="0.25">
      <c r="G22" s="2" t="s">
        <v>68</v>
      </c>
      <c r="H22" s="2" t="s">
        <v>10</v>
      </c>
      <c r="I22" s="2" t="s">
        <v>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8AD4-94C1-44A2-A2DB-B2A52729F812}">
  <dimension ref="C4:AF33"/>
  <sheetViews>
    <sheetView zoomScale="190" zoomScaleNormal="190" workbookViewId="0">
      <selection activeCell="AJ9" sqref="AJ9"/>
    </sheetView>
  </sheetViews>
  <sheetFormatPr defaultRowHeight="11.25" x14ac:dyDescent="0.25"/>
  <cols>
    <col min="1" max="2" width="9.140625" style="3"/>
    <col min="3" max="3" width="0.7109375" style="3" customWidth="1"/>
    <col min="4" max="31" width="2.140625" style="3" customWidth="1"/>
    <col min="32" max="32" width="0.7109375" style="3" customWidth="1"/>
    <col min="33" max="16384" width="9.140625" style="3"/>
  </cols>
  <sheetData>
    <row r="4" spans="3:32" ht="3.75" customHeight="1" x14ac:dyDescent="0.25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3:32" x14ac:dyDescent="0.25">
      <c r="C5" s="9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9"/>
    </row>
    <row r="6" spans="3:32" x14ac:dyDescent="0.25">
      <c r="C6" s="9"/>
      <c r="D6" s="27" t="s">
        <v>70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9"/>
    </row>
    <row r="7" spans="3:32" x14ac:dyDescent="0.25">
      <c r="C7" s="9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9"/>
    </row>
    <row r="8" spans="3:32" x14ac:dyDescent="0.25">
      <c r="C8" s="9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9"/>
    </row>
    <row r="9" spans="3:32" x14ac:dyDescent="0.25">
      <c r="C9" s="9"/>
      <c r="D9" s="5"/>
      <c r="E9" s="24" t="s">
        <v>0</v>
      </c>
      <c r="F9" s="24"/>
      <c r="G9" s="24"/>
      <c r="H9" s="24"/>
      <c r="I9" s="24"/>
      <c r="J9" s="24"/>
      <c r="K9" s="25">
        <v>2.72</v>
      </c>
      <c r="L9" s="25"/>
      <c r="M9" s="25"/>
      <c r="N9" s="25"/>
      <c r="O9" s="25"/>
      <c r="P9" s="25"/>
      <c r="Q9" s="6"/>
      <c r="R9" s="5"/>
      <c r="S9" s="22" t="s">
        <v>2</v>
      </c>
      <c r="T9" s="22"/>
      <c r="U9" s="22"/>
      <c r="V9" s="22"/>
      <c r="W9" s="22"/>
      <c r="X9" s="22"/>
      <c r="Y9" s="16">
        <v>0.38</v>
      </c>
      <c r="Z9" s="16"/>
      <c r="AA9" s="16"/>
      <c r="AB9" s="16"/>
      <c r="AC9" s="16"/>
      <c r="AD9" s="16"/>
      <c r="AE9" s="5"/>
      <c r="AF9" s="9"/>
    </row>
    <row r="10" spans="3:32" x14ac:dyDescent="0.25">
      <c r="C10" s="9"/>
      <c r="D10" s="5"/>
      <c r="E10" s="24" t="s">
        <v>1</v>
      </c>
      <c r="F10" s="24"/>
      <c r="G10" s="24"/>
      <c r="H10" s="24"/>
      <c r="I10" s="24"/>
      <c r="J10" s="24"/>
      <c r="K10" s="25">
        <v>3.1</v>
      </c>
      <c r="L10" s="25"/>
      <c r="M10" s="25"/>
      <c r="N10" s="25"/>
      <c r="O10" s="25"/>
      <c r="P10" s="25"/>
      <c r="Q10" s="6"/>
      <c r="R10" s="5"/>
      <c r="S10" s="22"/>
      <c r="T10" s="22"/>
      <c r="U10" s="22"/>
      <c r="V10" s="22"/>
      <c r="W10" s="22"/>
      <c r="X10" s="22"/>
      <c r="Y10" s="16"/>
      <c r="Z10" s="16"/>
      <c r="AA10" s="16"/>
      <c r="AB10" s="16"/>
      <c r="AC10" s="16"/>
      <c r="AD10" s="16"/>
      <c r="AE10" s="5"/>
      <c r="AF10" s="9"/>
    </row>
    <row r="11" spans="3:32" x14ac:dyDescent="0.25">
      <c r="C11" s="9"/>
      <c r="D11" s="5"/>
      <c r="E11" s="24" t="s">
        <v>3</v>
      </c>
      <c r="F11" s="24"/>
      <c r="G11" s="24"/>
      <c r="H11" s="24"/>
      <c r="I11" s="24"/>
      <c r="J11" s="24"/>
      <c r="K11" s="26">
        <v>15</v>
      </c>
      <c r="L11" s="26"/>
      <c r="M11" s="26"/>
      <c r="N11" s="26"/>
      <c r="O11" s="26"/>
      <c r="P11" s="26"/>
      <c r="Q11" s="6"/>
      <c r="R11" s="5"/>
      <c r="S11" s="23" t="s">
        <v>71</v>
      </c>
      <c r="T11" s="23"/>
      <c r="U11" s="23"/>
      <c r="V11" s="23"/>
      <c r="W11" s="23"/>
      <c r="X11" s="23"/>
      <c r="Y11" s="17">
        <v>8.0399999999999991</v>
      </c>
      <c r="Z11" s="17"/>
      <c r="AA11" s="17"/>
      <c r="AB11" s="17"/>
      <c r="AC11" s="17"/>
      <c r="AD11" s="17"/>
      <c r="AE11" s="5"/>
      <c r="AF11" s="9"/>
    </row>
    <row r="12" spans="3:32" x14ac:dyDescent="0.25">
      <c r="C12" s="9"/>
      <c r="D12" s="5"/>
      <c r="E12" s="24" t="s">
        <v>4</v>
      </c>
      <c r="F12" s="24"/>
      <c r="G12" s="24"/>
      <c r="H12" s="24"/>
      <c r="I12" s="24"/>
      <c r="J12" s="24"/>
      <c r="K12" s="26">
        <v>2</v>
      </c>
      <c r="L12" s="26"/>
      <c r="M12" s="26"/>
      <c r="N12" s="26"/>
      <c r="O12" s="26"/>
      <c r="P12" s="26"/>
      <c r="Q12" s="6"/>
      <c r="R12" s="5"/>
      <c r="S12" s="22"/>
      <c r="T12" s="22"/>
      <c r="U12" s="22"/>
      <c r="V12" s="22"/>
      <c r="W12" s="22"/>
      <c r="X12" s="22"/>
      <c r="Y12" s="16"/>
      <c r="Z12" s="16"/>
      <c r="AA12" s="16"/>
      <c r="AB12" s="16"/>
      <c r="AC12" s="16"/>
      <c r="AD12" s="16"/>
      <c r="AE12" s="5"/>
      <c r="AF12" s="9"/>
    </row>
    <row r="13" spans="3:32" x14ac:dyDescent="0.25">
      <c r="C13" s="9"/>
      <c r="D13" s="5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5"/>
      <c r="AF13" s="9"/>
    </row>
    <row r="14" spans="3:32" x14ac:dyDescent="0.25">
      <c r="C14" s="9"/>
      <c r="D14" s="5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5"/>
      <c r="AF14" s="9"/>
    </row>
    <row r="15" spans="3:32" x14ac:dyDescent="0.25">
      <c r="C15" s="9"/>
      <c r="D15" s="5"/>
      <c r="E15" s="5"/>
      <c r="F15" s="5"/>
      <c r="G15" s="5"/>
      <c r="H15" s="5"/>
      <c r="I15" s="5"/>
      <c r="J15" s="5"/>
      <c r="K15" s="5"/>
      <c r="L15" s="20" t="s">
        <v>72</v>
      </c>
      <c r="M15" s="20"/>
      <c r="N15" s="20"/>
      <c r="O15" s="20"/>
      <c r="P15" s="20"/>
      <c r="Q15" s="20"/>
      <c r="R15" s="21" t="s">
        <v>73</v>
      </c>
      <c r="S15" s="20"/>
      <c r="T15" s="20"/>
      <c r="U15" s="20"/>
      <c r="V15" s="20"/>
      <c r="W15" s="20"/>
      <c r="X15" s="5"/>
      <c r="Y15" s="5"/>
      <c r="Z15" s="5"/>
      <c r="AA15" s="5"/>
      <c r="AB15" s="5"/>
      <c r="AC15" s="5"/>
      <c r="AD15" s="5"/>
      <c r="AE15" s="5"/>
      <c r="AF15" s="9"/>
    </row>
    <row r="16" spans="3:32" x14ac:dyDescent="0.25">
      <c r="C16" s="9"/>
      <c r="D16" s="5"/>
      <c r="E16" s="5"/>
      <c r="F16" s="5"/>
      <c r="G16" s="5"/>
      <c r="H16" s="5"/>
      <c r="I16" s="5"/>
      <c r="J16" s="5"/>
      <c r="K16" s="5"/>
      <c r="L16" s="12">
        <v>1</v>
      </c>
      <c r="M16" s="12"/>
      <c r="N16" s="12"/>
      <c r="O16" s="12"/>
      <c r="P16" s="12"/>
      <c r="Q16" s="13"/>
      <c r="R16" s="14">
        <v>2.72</v>
      </c>
      <c r="S16" s="15"/>
      <c r="T16" s="15"/>
      <c r="U16" s="15"/>
      <c r="V16" s="15"/>
      <c r="W16" s="15"/>
      <c r="X16" s="5"/>
      <c r="Y16" s="5"/>
      <c r="Z16" s="5"/>
      <c r="AA16" s="5"/>
      <c r="AB16" s="5"/>
      <c r="AC16" s="5"/>
      <c r="AD16" s="5"/>
      <c r="AE16" s="5"/>
      <c r="AF16" s="9"/>
    </row>
    <row r="17" spans="3:32" x14ac:dyDescent="0.25">
      <c r="C17" s="9"/>
      <c r="D17" s="5"/>
      <c r="E17" s="5"/>
      <c r="F17" s="5"/>
      <c r="G17" s="5"/>
      <c r="H17" s="5"/>
      <c r="I17" s="5"/>
      <c r="J17" s="5"/>
      <c r="K17" s="5"/>
      <c r="L17" s="7">
        <v>2</v>
      </c>
      <c r="M17" s="7"/>
      <c r="N17" s="7"/>
      <c r="O17" s="7"/>
      <c r="P17" s="7"/>
      <c r="Q17" s="8"/>
      <c r="R17" s="10">
        <v>3.1</v>
      </c>
      <c r="S17" s="11"/>
      <c r="T17" s="11"/>
      <c r="U17" s="11"/>
      <c r="V17" s="11"/>
      <c r="W17" s="11"/>
      <c r="X17" s="5"/>
      <c r="Y17" s="5"/>
      <c r="Z17" s="5"/>
      <c r="AA17" s="5"/>
      <c r="AB17" s="5"/>
      <c r="AC17" s="5"/>
      <c r="AD17" s="5"/>
      <c r="AE17" s="5"/>
      <c r="AF17" s="9"/>
    </row>
    <row r="18" spans="3:32" x14ac:dyDescent="0.25">
      <c r="C18" s="9"/>
      <c r="D18" s="5"/>
      <c r="E18" s="5"/>
      <c r="F18" s="5"/>
      <c r="G18" s="5"/>
      <c r="H18" s="5"/>
      <c r="I18" s="5"/>
      <c r="J18" s="5"/>
      <c r="K18" s="5"/>
      <c r="L18" s="7">
        <v>3</v>
      </c>
      <c r="M18" s="7"/>
      <c r="N18" s="7"/>
      <c r="O18" s="7"/>
      <c r="P18" s="7"/>
      <c r="Q18" s="8"/>
      <c r="R18" s="10">
        <v>3.48</v>
      </c>
      <c r="S18" s="11"/>
      <c r="T18" s="11"/>
      <c r="U18" s="11"/>
      <c r="V18" s="11"/>
      <c r="W18" s="11"/>
      <c r="X18" s="5"/>
      <c r="Y18" s="5"/>
      <c r="Z18" s="5"/>
      <c r="AA18" s="5"/>
      <c r="AB18" s="5"/>
      <c r="AC18" s="5"/>
      <c r="AD18" s="5"/>
      <c r="AE18" s="5"/>
      <c r="AF18" s="9"/>
    </row>
    <row r="19" spans="3:32" x14ac:dyDescent="0.25">
      <c r="C19" s="9"/>
      <c r="D19" s="5"/>
      <c r="E19" s="5"/>
      <c r="F19" s="5"/>
      <c r="G19" s="5"/>
      <c r="H19" s="5"/>
      <c r="I19" s="5"/>
      <c r="J19" s="5"/>
      <c r="K19" s="5"/>
      <c r="L19" s="7">
        <v>4</v>
      </c>
      <c r="M19" s="7"/>
      <c r="N19" s="7"/>
      <c r="O19" s="7"/>
      <c r="P19" s="7"/>
      <c r="Q19" s="8"/>
      <c r="R19" s="10">
        <v>3.86</v>
      </c>
      <c r="S19" s="11"/>
      <c r="T19" s="11"/>
      <c r="U19" s="11"/>
      <c r="V19" s="11"/>
      <c r="W19" s="11"/>
      <c r="X19" s="5"/>
      <c r="Y19" s="5"/>
      <c r="Z19" s="5"/>
      <c r="AA19" s="5"/>
      <c r="AB19" s="5"/>
      <c r="AC19" s="5"/>
      <c r="AD19" s="5"/>
      <c r="AE19" s="5"/>
      <c r="AF19" s="9"/>
    </row>
    <row r="20" spans="3:32" x14ac:dyDescent="0.25">
      <c r="C20" s="9"/>
      <c r="D20" s="5"/>
      <c r="E20" s="5"/>
      <c r="F20" s="5"/>
      <c r="G20" s="5"/>
      <c r="H20" s="5"/>
      <c r="I20" s="5"/>
      <c r="J20" s="5"/>
      <c r="K20" s="5"/>
      <c r="L20" s="7">
        <v>5</v>
      </c>
      <c r="M20" s="7"/>
      <c r="N20" s="7"/>
      <c r="O20" s="7"/>
      <c r="P20" s="7"/>
      <c r="Q20" s="8"/>
      <c r="R20" s="10">
        <v>4.24</v>
      </c>
      <c r="S20" s="11"/>
      <c r="T20" s="11"/>
      <c r="U20" s="11"/>
      <c r="V20" s="11"/>
      <c r="W20" s="11"/>
      <c r="X20" s="5"/>
      <c r="Y20" s="5"/>
      <c r="Z20" s="5"/>
      <c r="AA20" s="5"/>
      <c r="AB20" s="5"/>
      <c r="AC20" s="5"/>
      <c r="AD20" s="5"/>
      <c r="AE20" s="5"/>
      <c r="AF20" s="9"/>
    </row>
    <row r="21" spans="3:32" x14ac:dyDescent="0.25">
      <c r="C21" s="9"/>
      <c r="D21" s="5"/>
      <c r="E21" s="5"/>
      <c r="F21" s="5"/>
      <c r="G21" s="5"/>
      <c r="H21" s="5"/>
      <c r="I21" s="5"/>
      <c r="J21" s="5"/>
      <c r="K21" s="5"/>
      <c r="L21" s="7">
        <v>6</v>
      </c>
      <c r="M21" s="7"/>
      <c r="N21" s="7"/>
      <c r="O21" s="7"/>
      <c r="P21" s="7"/>
      <c r="Q21" s="8"/>
      <c r="R21" s="10">
        <v>4.62</v>
      </c>
      <c r="S21" s="11"/>
      <c r="T21" s="11"/>
      <c r="U21" s="11"/>
      <c r="V21" s="11"/>
      <c r="W21" s="11"/>
      <c r="X21" s="5"/>
      <c r="Y21" s="5"/>
      <c r="Z21" s="5"/>
      <c r="AA21" s="5"/>
      <c r="AB21" s="5"/>
      <c r="AC21" s="5"/>
      <c r="AD21" s="5"/>
      <c r="AE21" s="5"/>
      <c r="AF21" s="9"/>
    </row>
    <row r="22" spans="3:32" x14ac:dyDescent="0.25">
      <c r="C22" s="9"/>
      <c r="D22" s="5"/>
      <c r="E22" s="5"/>
      <c r="F22" s="5"/>
      <c r="G22" s="5"/>
      <c r="H22" s="5"/>
      <c r="I22" s="5"/>
      <c r="J22" s="5"/>
      <c r="K22" s="5"/>
      <c r="L22" s="7">
        <v>7</v>
      </c>
      <c r="M22" s="7"/>
      <c r="N22" s="7"/>
      <c r="O22" s="7"/>
      <c r="P22" s="7"/>
      <c r="Q22" s="8"/>
      <c r="R22" s="10">
        <v>5</v>
      </c>
      <c r="S22" s="11"/>
      <c r="T22" s="11"/>
      <c r="U22" s="11"/>
      <c r="V22" s="11"/>
      <c r="W22" s="11"/>
      <c r="X22" s="5"/>
      <c r="Y22" s="5"/>
      <c r="Z22" s="5"/>
      <c r="AA22" s="5"/>
      <c r="AB22" s="5"/>
      <c r="AC22" s="5"/>
      <c r="AD22" s="5"/>
      <c r="AE22" s="5"/>
      <c r="AF22" s="9"/>
    </row>
    <row r="23" spans="3:32" x14ac:dyDescent="0.25">
      <c r="C23" s="9"/>
      <c r="D23" s="5"/>
      <c r="E23" s="5"/>
      <c r="F23" s="5"/>
      <c r="G23" s="5"/>
      <c r="H23" s="5"/>
      <c r="I23" s="5"/>
      <c r="J23" s="5"/>
      <c r="K23" s="5"/>
      <c r="L23" s="7">
        <v>8</v>
      </c>
      <c r="M23" s="7"/>
      <c r="N23" s="7"/>
      <c r="O23" s="7"/>
      <c r="P23" s="7"/>
      <c r="Q23" s="8"/>
      <c r="R23" s="10">
        <v>5.38</v>
      </c>
      <c r="S23" s="11"/>
      <c r="T23" s="11"/>
      <c r="U23" s="11"/>
      <c r="V23" s="11"/>
      <c r="W23" s="11"/>
      <c r="X23" s="5"/>
      <c r="Y23" s="5"/>
      <c r="Z23" s="5"/>
      <c r="AA23" s="5"/>
      <c r="AB23" s="5"/>
      <c r="AC23" s="5"/>
      <c r="AD23" s="5"/>
      <c r="AE23" s="5"/>
      <c r="AF23" s="9"/>
    </row>
    <row r="24" spans="3:32" x14ac:dyDescent="0.25">
      <c r="C24" s="9"/>
      <c r="D24" s="5"/>
      <c r="E24" s="5"/>
      <c r="F24" s="5"/>
      <c r="G24" s="5"/>
      <c r="H24" s="5"/>
      <c r="I24" s="5"/>
      <c r="J24" s="5"/>
      <c r="K24" s="5"/>
      <c r="L24" s="7">
        <v>9</v>
      </c>
      <c r="M24" s="7"/>
      <c r="N24" s="7"/>
      <c r="O24" s="7"/>
      <c r="P24" s="7"/>
      <c r="Q24" s="8"/>
      <c r="R24" s="10">
        <v>5.76</v>
      </c>
      <c r="S24" s="11"/>
      <c r="T24" s="11"/>
      <c r="U24" s="11"/>
      <c r="V24" s="11"/>
      <c r="W24" s="11"/>
      <c r="X24" s="5"/>
      <c r="Y24" s="5"/>
      <c r="Z24" s="5"/>
      <c r="AA24" s="5"/>
      <c r="AB24" s="5"/>
      <c r="AC24" s="5"/>
      <c r="AD24" s="5"/>
      <c r="AE24" s="5"/>
      <c r="AF24" s="9"/>
    </row>
    <row r="25" spans="3:32" x14ac:dyDescent="0.25">
      <c r="C25" s="9"/>
      <c r="D25" s="5"/>
      <c r="E25" s="5"/>
      <c r="F25" s="5"/>
      <c r="G25" s="5"/>
      <c r="H25" s="5"/>
      <c r="I25" s="5"/>
      <c r="J25" s="5"/>
      <c r="K25" s="5"/>
      <c r="L25" s="7">
        <v>10</v>
      </c>
      <c r="M25" s="7"/>
      <c r="N25" s="7"/>
      <c r="O25" s="7"/>
      <c r="P25" s="7"/>
      <c r="Q25" s="8"/>
      <c r="R25" s="10">
        <v>6.14</v>
      </c>
      <c r="S25" s="11"/>
      <c r="T25" s="11"/>
      <c r="U25" s="11"/>
      <c r="V25" s="11"/>
      <c r="W25" s="11"/>
      <c r="X25" s="5"/>
      <c r="Y25" s="5"/>
      <c r="Z25" s="5"/>
      <c r="AA25" s="5"/>
      <c r="AB25" s="5"/>
      <c r="AC25" s="5"/>
      <c r="AD25" s="5"/>
      <c r="AE25" s="5"/>
      <c r="AF25" s="9"/>
    </row>
    <row r="26" spans="3:32" x14ac:dyDescent="0.25">
      <c r="C26" s="9"/>
      <c r="D26" s="5"/>
      <c r="E26" s="5"/>
      <c r="F26" s="5"/>
      <c r="G26" s="5"/>
      <c r="H26" s="5"/>
      <c r="I26" s="5"/>
      <c r="J26" s="5"/>
      <c r="K26" s="5"/>
      <c r="L26" s="7">
        <v>11</v>
      </c>
      <c r="M26" s="7"/>
      <c r="N26" s="7"/>
      <c r="O26" s="7"/>
      <c r="P26" s="7"/>
      <c r="Q26" s="8"/>
      <c r="R26" s="10">
        <v>6.52</v>
      </c>
      <c r="S26" s="11"/>
      <c r="T26" s="11"/>
      <c r="U26" s="11"/>
      <c r="V26" s="11"/>
      <c r="W26" s="11"/>
      <c r="X26" s="5"/>
      <c r="Y26" s="5"/>
      <c r="Z26" s="5"/>
      <c r="AA26" s="5"/>
      <c r="AB26" s="5"/>
      <c r="AC26" s="5"/>
      <c r="AD26" s="5"/>
      <c r="AE26" s="5"/>
      <c r="AF26" s="9"/>
    </row>
    <row r="27" spans="3:32" x14ac:dyDescent="0.25">
      <c r="C27" s="9"/>
      <c r="D27" s="5"/>
      <c r="E27" s="5"/>
      <c r="F27" s="5"/>
      <c r="G27" s="5"/>
      <c r="H27" s="5"/>
      <c r="I27" s="5"/>
      <c r="J27" s="5"/>
      <c r="K27" s="5"/>
      <c r="L27" s="7">
        <v>12</v>
      </c>
      <c r="M27" s="7"/>
      <c r="N27" s="7"/>
      <c r="O27" s="7"/>
      <c r="P27" s="7"/>
      <c r="Q27" s="8"/>
      <c r="R27" s="10">
        <v>6.9</v>
      </c>
      <c r="S27" s="11"/>
      <c r="T27" s="11"/>
      <c r="U27" s="11"/>
      <c r="V27" s="11"/>
      <c r="W27" s="11"/>
      <c r="X27" s="5"/>
      <c r="Y27" s="5"/>
      <c r="Z27" s="5"/>
      <c r="AA27" s="5"/>
      <c r="AB27" s="5"/>
      <c r="AC27" s="5"/>
      <c r="AD27" s="5"/>
      <c r="AE27" s="5"/>
      <c r="AF27" s="9"/>
    </row>
    <row r="28" spans="3:32" x14ac:dyDescent="0.25">
      <c r="C28" s="9"/>
      <c r="D28" s="5"/>
      <c r="E28" s="5"/>
      <c r="F28" s="5"/>
      <c r="G28" s="5"/>
      <c r="H28" s="5"/>
      <c r="I28" s="5"/>
      <c r="J28" s="5"/>
      <c r="K28" s="5"/>
      <c r="L28" s="7">
        <v>13</v>
      </c>
      <c r="M28" s="7"/>
      <c r="N28" s="7"/>
      <c r="O28" s="7"/>
      <c r="P28" s="7"/>
      <c r="Q28" s="8"/>
      <c r="R28" s="10">
        <v>7.28</v>
      </c>
      <c r="S28" s="11"/>
      <c r="T28" s="11"/>
      <c r="U28" s="11"/>
      <c r="V28" s="11"/>
      <c r="W28" s="11"/>
      <c r="X28" s="5"/>
      <c r="Y28" s="5"/>
      <c r="Z28" s="5"/>
      <c r="AA28" s="5"/>
      <c r="AB28" s="5"/>
      <c r="AC28" s="5"/>
      <c r="AD28" s="5"/>
      <c r="AE28" s="5"/>
      <c r="AF28" s="9"/>
    </row>
    <row r="29" spans="3:32" x14ac:dyDescent="0.25">
      <c r="C29" s="9"/>
      <c r="D29" s="5"/>
      <c r="E29" s="5"/>
      <c r="F29" s="5"/>
      <c r="G29" s="5"/>
      <c r="H29" s="5"/>
      <c r="I29" s="5"/>
      <c r="J29" s="5"/>
      <c r="K29" s="5"/>
      <c r="L29" s="7">
        <v>14</v>
      </c>
      <c r="M29" s="7"/>
      <c r="N29" s="7"/>
      <c r="O29" s="7"/>
      <c r="P29" s="7"/>
      <c r="Q29" s="8"/>
      <c r="R29" s="10">
        <v>7.66</v>
      </c>
      <c r="S29" s="11"/>
      <c r="T29" s="11"/>
      <c r="U29" s="11"/>
      <c r="V29" s="11"/>
      <c r="W29" s="11"/>
      <c r="X29" s="5"/>
      <c r="Y29" s="5"/>
      <c r="Z29" s="5"/>
      <c r="AA29" s="5"/>
      <c r="AB29" s="5"/>
      <c r="AC29" s="5"/>
      <c r="AD29" s="5"/>
      <c r="AE29" s="5"/>
      <c r="AF29" s="9"/>
    </row>
    <row r="30" spans="3:32" x14ac:dyDescent="0.25">
      <c r="C30" s="9"/>
      <c r="D30" s="5"/>
      <c r="E30" s="5"/>
      <c r="F30" s="5"/>
      <c r="G30" s="5"/>
      <c r="H30" s="5"/>
      <c r="I30" s="5"/>
      <c r="J30" s="5"/>
      <c r="K30" s="5"/>
      <c r="L30" s="7">
        <v>15</v>
      </c>
      <c r="M30" s="7"/>
      <c r="N30" s="7"/>
      <c r="O30" s="7"/>
      <c r="P30" s="7"/>
      <c r="Q30" s="8"/>
      <c r="R30" s="10">
        <v>8.0399999999999991</v>
      </c>
      <c r="S30" s="11"/>
      <c r="T30" s="11"/>
      <c r="U30" s="11"/>
      <c r="V30" s="11"/>
      <c r="W30" s="11"/>
      <c r="X30" s="5"/>
      <c r="Y30" s="5"/>
      <c r="Z30" s="5"/>
      <c r="AA30" s="5"/>
      <c r="AB30" s="5"/>
      <c r="AC30" s="5"/>
      <c r="AD30" s="5"/>
      <c r="AE30" s="5"/>
      <c r="AF30" s="9"/>
    </row>
    <row r="31" spans="3:32" x14ac:dyDescent="0.25"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9"/>
    </row>
    <row r="32" spans="3:32" x14ac:dyDescent="0.25">
      <c r="C32" s="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9"/>
    </row>
    <row r="33" spans="3:32" ht="3.75" customHeight="1" x14ac:dyDescent="0.25">
      <c r="C33" s="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9"/>
    </row>
  </sheetData>
  <mergeCells count="52">
    <mergeCell ref="D5:AE5"/>
    <mergeCell ref="D6:AE7"/>
    <mergeCell ref="D8:AE8"/>
    <mergeCell ref="Y9:AD10"/>
    <mergeCell ref="Y11:AD12"/>
    <mergeCell ref="E14:AD14"/>
    <mergeCell ref="E13:AD13"/>
    <mergeCell ref="L15:Q15"/>
    <mergeCell ref="R15:W15"/>
    <mergeCell ref="S9:X10"/>
    <mergeCell ref="S11:X12"/>
    <mergeCell ref="E12:J12"/>
    <mergeCell ref="K9:P9"/>
    <mergeCell ref="K10:P10"/>
    <mergeCell ref="K11:P11"/>
    <mergeCell ref="K12:P12"/>
    <mergeCell ref="E9:J9"/>
    <mergeCell ref="E10:J10"/>
    <mergeCell ref="E11:J11"/>
    <mergeCell ref="R27:W27"/>
    <mergeCell ref="R16:W16"/>
    <mergeCell ref="R17:W17"/>
    <mergeCell ref="R18:W18"/>
    <mergeCell ref="R19:W19"/>
    <mergeCell ref="R20:W20"/>
    <mergeCell ref="R21:W21"/>
    <mergeCell ref="R22:W22"/>
    <mergeCell ref="R23:W23"/>
    <mergeCell ref="R24:W24"/>
    <mergeCell ref="R25:W25"/>
    <mergeCell ref="R26:W26"/>
    <mergeCell ref="L18:Q18"/>
    <mergeCell ref="L19:Q19"/>
    <mergeCell ref="L20:Q20"/>
    <mergeCell ref="L21:Q21"/>
    <mergeCell ref="L22:Q22"/>
    <mergeCell ref="L29:Q29"/>
    <mergeCell ref="L30:Q30"/>
    <mergeCell ref="C4:AF4"/>
    <mergeCell ref="C5:C33"/>
    <mergeCell ref="AF5:AF33"/>
    <mergeCell ref="L23:Q23"/>
    <mergeCell ref="L24:Q24"/>
    <mergeCell ref="L25:Q25"/>
    <mergeCell ref="L26:Q26"/>
    <mergeCell ref="L27:Q27"/>
    <mergeCell ref="L28:Q28"/>
    <mergeCell ref="R28:W28"/>
    <mergeCell ref="R29:W29"/>
    <mergeCell ref="R30:W30"/>
    <mergeCell ref="L16:Q16"/>
    <mergeCell ref="L17:Q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9ED1-B584-4005-9648-CB531E5696C6}">
  <dimension ref="E4:T23"/>
  <sheetViews>
    <sheetView tabSelected="1" zoomScale="265" zoomScaleNormal="265" workbookViewId="0">
      <selection activeCell="H13" sqref="H13:I13"/>
    </sheetView>
  </sheetViews>
  <sheetFormatPr defaultRowHeight="11.25" x14ac:dyDescent="0.25"/>
  <cols>
    <col min="1" max="3" width="2.140625" style="28" customWidth="1"/>
    <col min="4" max="6" width="0.7109375" style="28" customWidth="1"/>
    <col min="7" max="7" width="5.28515625" style="30" bestFit="1" customWidth="1"/>
    <col min="8" max="8" width="9.5703125" style="28" bestFit="1" customWidth="1"/>
    <col min="9" max="9" width="3.140625" style="28" bestFit="1" customWidth="1"/>
    <col min="10" max="10" width="1.85546875" style="30" bestFit="1" customWidth="1"/>
    <col min="11" max="11" width="12.85546875" style="29" customWidth="1"/>
    <col min="12" max="13" width="0.7109375" style="28" customWidth="1"/>
    <col min="14" max="14" width="5.28515625" style="28" bestFit="1" customWidth="1"/>
    <col min="15" max="15" width="11.28515625" style="28" bestFit="1" customWidth="1"/>
    <col min="16" max="16" width="3.140625" style="28" bestFit="1" customWidth="1"/>
    <col min="17" max="17" width="1.85546875" style="28" bestFit="1" customWidth="1"/>
    <col min="18" max="18" width="12.85546875" style="29" customWidth="1"/>
    <col min="19" max="21" width="0.7109375" style="28" customWidth="1"/>
    <col min="22" max="16384" width="9.140625" style="28"/>
  </cols>
  <sheetData>
    <row r="4" spans="5:20" s="28" customFormat="1" ht="3.75" customHeight="1" x14ac:dyDescent="0.25">
      <c r="G4" s="30"/>
      <c r="J4" s="30"/>
      <c r="K4" s="29"/>
      <c r="R4" s="29"/>
    </row>
    <row r="5" spans="5:20" s="28" customFormat="1" ht="3.75" customHeight="1" x14ac:dyDescent="0.25"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5:20" s="28" customFormat="1" ht="3.75" customHeight="1" x14ac:dyDescent="0.25">
      <c r="E6" s="31"/>
      <c r="G6" s="30"/>
      <c r="J6" s="30"/>
      <c r="K6" s="29"/>
      <c r="R6" s="29"/>
      <c r="T6" s="31"/>
    </row>
    <row r="7" spans="5:20" s="28" customFormat="1" ht="18.75" customHeight="1" x14ac:dyDescent="0.25">
      <c r="E7" s="31"/>
      <c r="G7" s="30"/>
      <c r="H7" s="42" t="s">
        <v>90</v>
      </c>
      <c r="I7" s="42"/>
      <c r="J7" s="30" t="s">
        <v>74</v>
      </c>
      <c r="K7" s="43" t="s">
        <v>89</v>
      </c>
      <c r="M7" s="35"/>
      <c r="O7" s="42" t="s">
        <v>88</v>
      </c>
      <c r="P7" s="42"/>
      <c r="Q7" s="30" t="s">
        <v>74</v>
      </c>
      <c r="R7" s="44">
        <v>0.89402253472222226</v>
      </c>
      <c r="T7" s="31"/>
    </row>
    <row r="8" spans="5:20" s="28" customFormat="1" ht="18.75" customHeight="1" x14ac:dyDescent="0.25">
      <c r="E8" s="31"/>
      <c r="G8" s="30"/>
      <c r="H8" s="42" t="s">
        <v>87</v>
      </c>
      <c r="I8" s="42"/>
      <c r="J8" s="30" t="s">
        <v>74</v>
      </c>
      <c r="K8" s="43" t="s">
        <v>86</v>
      </c>
      <c r="M8" s="35"/>
      <c r="O8" s="42" t="s">
        <v>85</v>
      </c>
      <c r="P8" s="42"/>
      <c r="Q8" s="30" t="s">
        <v>74</v>
      </c>
      <c r="R8" s="44">
        <v>0.74880967592592595</v>
      </c>
      <c r="T8" s="31"/>
    </row>
    <row r="9" spans="5:20" s="28" customFormat="1" ht="7.5" customHeight="1" x14ac:dyDescent="0.25">
      <c r="E9" s="31"/>
      <c r="G9" s="38"/>
      <c r="H9" s="39"/>
      <c r="I9" s="39"/>
      <c r="J9" s="38"/>
      <c r="K9" s="37"/>
      <c r="M9" s="35"/>
      <c r="N9" s="40"/>
      <c r="O9" s="39"/>
      <c r="P9" s="39"/>
      <c r="Q9" s="38"/>
      <c r="R9" s="37"/>
      <c r="T9" s="31"/>
    </row>
    <row r="10" spans="5:20" s="28" customFormat="1" ht="7.5" customHeight="1" x14ac:dyDescent="0.25">
      <c r="E10" s="31"/>
      <c r="G10" s="30"/>
      <c r="H10" s="36"/>
      <c r="I10" s="36"/>
      <c r="J10" s="30"/>
      <c r="K10" s="29"/>
      <c r="M10" s="35"/>
      <c r="O10" s="36"/>
      <c r="P10" s="36"/>
      <c r="Q10" s="30"/>
      <c r="R10" s="29"/>
      <c r="T10" s="31"/>
    </row>
    <row r="11" spans="5:20" s="28" customFormat="1" ht="18.75" customHeight="1" x14ac:dyDescent="0.25">
      <c r="E11" s="31"/>
      <c r="G11" s="30"/>
      <c r="H11" s="42" t="s">
        <v>84</v>
      </c>
      <c r="I11" s="42"/>
      <c r="J11" s="30" t="s">
        <v>74</v>
      </c>
      <c r="K11" s="43">
        <v>67</v>
      </c>
      <c r="M11" s="35"/>
      <c r="O11" s="42" t="s">
        <v>83</v>
      </c>
      <c r="P11" s="42"/>
      <c r="Q11" s="30" t="s">
        <v>74</v>
      </c>
      <c r="R11" s="43">
        <v>3</v>
      </c>
      <c r="T11" s="31"/>
    </row>
    <row r="12" spans="5:20" s="28" customFormat="1" ht="18.75" customHeight="1" x14ac:dyDescent="0.25">
      <c r="E12" s="31"/>
      <c r="G12" s="30"/>
      <c r="H12" s="42" t="s">
        <v>82</v>
      </c>
      <c r="I12" s="42"/>
      <c r="J12" s="30" t="s">
        <v>74</v>
      </c>
      <c r="K12" s="43">
        <v>3</v>
      </c>
      <c r="M12" s="35"/>
      <c r="O12" s="42" t="s">
        <v>81</v>
      </c>
      <c r="P12" s="42"/>
      <c r="Q12" s="30" t="s">
        <v>74</v>
      </c>
      <c r="R12" s="43">
        <v>29</v>
      </c>
      <c r="T12" s="31"/>
    </row>
    <row r="13" spans="5:20" s="28" customFormat="1" ht="18.75" customHeight="1" x14ac:dyDescent="0.25">
      <c r="E13" s="31"/>
      <c r="G13" s="30"/>
      <c r="H13" s="42" t="s">
        <v>80</v>
      </c>
      <c r="I13" s="42"/>
      <c r="J13" s="30" t="s">
        <v>74</v>
      </c>
      <c r="K13" s="43">
        <v>1</v>
      </c>
      <c r="M13" s="35"/>
      <c r="O13" s="42" t="s">
        <v>76</v>
      </c>
      <c r="P13" s="42"/>
      <c r="Q13" s="30" t="s">
        <v>74</v>
      </c>
      <c r="R13" s="43">
        <v>6</v>
      </c>
      <c r="T13" s="31"/>
    </row>
    <row r="14" spans="5:20" s="28" customFormat="1" ht="18.75" customHeight="1" x14ac:dyDescent="0.25">
      <c r="E14" s="31"/>
      <c r="G14" s="30"/>
      <c r="H14" s="42" t="s">
        <v>78</v>
      </c>
      <c r="I14" s="42"/>
      <c r="J14" s="30" t="s">
        <v>74</v>
      </c>
      <c r="K14" s="43">
        <v>1</v>
      </c>
      <c r="M14" s="35"/>
      <c r="O14" s="42" t="s">
        <v>79</v>
      </c>
      <c r="P14" s="42"/>
      <c r="Q14" s="30" t="s">
        <v>74</v>
      </c>
      <c r="R14" s="41">
        <v>391</v>
      </c>
      <c r="T14" s="31"/>
    </row>
    <row r="15" spans="5:20" s="28" customFormat="1" ht="7.5" customHeight="1" x14ac:dyDescent="0.25">
      <c r="E15" s="31"/>
      <c r="G15" s="38"/>
      <c r="H15" s="39"/>
      <c r="I15" s="39"/>
      <c r="J15" s="38"/>
      <c r="K15" s="37"/>
      <c r="M15" s="35"/>
      <c r="N15" s="40"/>
      <c r="O15" s="39"/>
      <c r="P15" s="39"/>
      <c r="Q15" s="38"/>
      <c r="R15" s="37"/>
      <c r="T15" s="31"/>
    </row>
    <row r="16" spans="5:20" s="28" customFormat="1" ht="7.5" customHeight="1" x14ac:dyDescent="0.25">
      <c r="E16" s="31"/>
      <c r="G16" s="30"/>
      <c r="H16" s="36"/>
      <c r="I16" s="36"/>
      <c r="J16" s="30"/>
      <c r="K16" s="29"/>
      <c r="M16" s="35"/>
      <c r="O16" s="36"/>
      <c r="P16" s="36"/>
      <c r="Q16" s="30"/>
      <c r="R16" s="29"/>
      <c r="T16" s="31"/>
    </row>
    <row r="17" spans="5:20" s="28" customFormat="1" ht="18.75" customHeight="1" x14ac:dyDescent="0.25">
      <c r="E17" s="31"/>
      <c r="G17" s="30" t="s">
        <v>77</v>
      </c>
      <c r="H17" s="34" t="s">
        <v>78</v>
      </c>
      <c r="I17" s="33" t="s">
        <v>75</v>
      </c>
      <c r="J17" s="30" t="s">
        <v>74</v>
      </c>
      <c r="K17" s="32">
        <v>24570</v>
      </c>
      <c r="M17" s="35"/>
      <c r="N17" s="30" t="s">
        <v>77</v>
      </c>
      <c r="O17" s="34" t="s">
        <v>76</v>
      </c>
      <c r="P17" s="33" t="s">
        <v>75</v>
      </c>
      <c r="Q17" s="30" t="s">
        <v>74</v>
      </c>
      <c r="R17" s="32">
        <v>12546</v>
      </c>
      <c r="T17" s="31"/>
    </row>
    <row r="18" spans="5:20" s="28" customFormat="1" ht="3.75" customHeight="1" x14ac:dyDescent="0.25">
      <c r="E18" s="31"/>
      <c r="G18" s="30"/>
      <c r="J18" s="30"/>
      <c r="K18" s="29"/>
      <c r="R18" s="29"/>
      <c r="T18" s="31"/>
    </row>
    <row r="19" spans="5:20" s="28" customFormat="1" ht="3.75" customHeight="1" x14ac:dyDescent="0.25"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</row>
    <row r="20" spans="5:20" s="28" customFormat="1" ht="3.75" customHeight="1" x14ac:dyDescent="0.25">
      <c r="G20" s="30"/>
      <c r="J20" s="30"/>
      <c r="K20" s="29"/>
      <c r="R20" s="29"/>
    </row>
    <row r="21" spans="5:20" s="28" customFormat="1" x14ac:dyDescent="0.25">
      <c r="G21" s="30"/>
      <c r="J21" s="30"/>
      <c r="K21" s="29"/>
      <c r="R21" s="29"/>
    </row>
    <row r="22" spans="5:20" s="28" customFormat="1" x14ac:dyDescent="0.25">
      <c r="G22" s="30"/>
      <c r="J22" s="30"/>
      <c r="K22" s="29"/>
      <c r="R22" s="29"/>
    </row>
    <row r="23" spans="5:20" s="28" customFormat="1" x14ac:dyDescent="0.25">
      <c r="G23" s="30"/>
      <c r="J23" s="30"/>
      <c r="K23" s="29"/>
      <c r="R23" s="29"/>
    </row>
  </sheetData>
  <mergeCells count="16">
    <mergeCell ref="E5:T5"/>
    <mergeCell ref="E6:E19"/>
    <mergeCell ref="F19:T19"/>
    <mergeCell ref="T6:T18"/>
    <mergeCell ref="O11:P11"/>
    <mergeCell ref="O12:P12"/>
    <mergeCell ref="O13:P13"/>
    <mergeCell ref="O14:P14"/>
    <mergeCell ref="O7:P7"/>
    <mergeCell ref="O8:P8"/>
    <mergeCell ref="H7:I7"/>
    <mergeCell ref="H8:I8"/>
    <mergeCell ref="H11:I11"/>
    <mergeCell ref="H12:I12"/>
    <mergeCell ref="H13:I13"/>
    <mergeCell ref="H14:I14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Sheet3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Chikkala, Luke</dc:creator>
  <cp:lastModifiedBy>Chikkala, Luke</cp:lastModifiedBy>
  <cp:lastPrinted>2026-03-01T21:07:57Z</cp:lastPrinted>
  <dcterms:created xsi:type="dcterms:W3CDTF">2026-02-16T20:02:06Z</dcterms:created>
  <dcterms:modified xsi:type="dcterms:W3CDTF">2026-03-02T08:13:02Z</dcterms:modified>
</cp:coreProperties>
</file>